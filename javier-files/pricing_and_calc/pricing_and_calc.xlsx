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PriceList" sheetId="3" state="visible" r:id="rId3"/>
    <sheet xmlns:r="http://schemas.openxmlformats.org/officeDocument/2006/relationships" name="Compu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#,##0.00 &quot;EUR&quot;"/>
  </numFmts>
  <fonts count="9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i val="1"/>
      <color rgb="00666666"/>
      <sz val="9"/>
    </font>
    <font>
      <b val="1"/>
      <color rgb="001F3864"/>
      <sz val="11"/>
    </font>
    <font>
      <b val="1"/>
    </font>
    <font>
      <b val="1"/>
      <sz val="11"/>
    </font>
    <font>
      <b val="1"/>
      <sz val="12"/>
    </font>
    <font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9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right" vertical="center"/>
    </xf>
    <xf numFmtId="0" fontId="3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right" vertical="center"/>
    </xf>
    <xf numFmtId="2" fontId="0" fillId="5" borderId="1" applyAlignment="1" pivotButton="0" quotePrefix="0" xfId="0">
      <alignment horizontal="right" vertical="center"/>
    </xf>
    <xf numFmtId="2" fontId="0" fillId="3" borderId="1" applyAlignment="1" pivotButton="0" quotePrefix="0" xfId="0">
      <alignment horizontal="right" vertical="center"/>
    </xf>
    <xf numFmtId="0" fontId="5" fillId="0" borderId="1" pivotButton="0" quotePrefix="0" xfId="0"/>
    <xf numFmtId="164" fontId="5" fillId="5" borderId="1" applyAlignment="1" pivotButton="0" quotePrefix="0" xfId="0">
      <alignment horizontal="right" vertical="center"/>
    </xf>
    <xf numFmtId="0" fontId="0" fillId="0" borderId="1" pivotButton="0" quotePrefix="0" xfId="0"/>
    <xf numFmtId="1" fontId="0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4" fontId="0" fillId="5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/>
    </xf>
    <xf numFmtId="165" fontId="6" fillId="5" borderId="1" pivotButton="0" quotePrefix="0" xfId="0"/>
    <xf numFmtId="0" fontId="0" fillId="0" borderId="1" applyAlignment="1" pivotButton="0" quotePrefix="0" xfId="0">
      <alignment horizontal="right"/>
    </xf>
    <xf numFmtId="9" fontId="0" fillId="5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/>
    </xf>
    <xf numFmtId="165" fontId="8" fillId="5" borderId="1" pivotButton="0" quotePrefix="0" xfId="0"/>
    <xf numFmtId="165" fontId="0" fillId="0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48" customWidth="1" min="4" max="4"/>
  </cols>
  <sheetData>
    <row r="1">
      <c r="A1" s="1" t="inlineStr">
        <is>
          <t>TECHNICAL &amp; COMMERCIAL PARAMETERS</t>
        </is>
      </c>
    </row>
    <row r="2"/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Notes</t>
        </is>
      </c>
    </row>
    <row r="4">
      <c r="A4" s="3" t="inlineStr">
        <is>
          <t>Default commercial margin</t>
        </is>
      </c>
      <c r="B4" s="4" t="n">
        <v>0.3</v>
      </c>
      <c r="C4" s="5" t="inlineStr">
        <is>
          <t>%</t>
        </is>
      </c>
      <c r="D4" s="3" t="inlineStr">
        <is>
          <t>Applied to cost to get selling price</t>
        </is>
      </c>
    </row>
    <row r="5">
      <c r="A5" s="3" t="inlineStr">
        <is>
          <t>VAT rate (Spain)</t>
        </is>
      </c>
      <c r="B5" s="4" t="n">
        <v>0.21</v>
      </c>
      <c r="C5" s="5" t="inlineStr">
        <is>
          <t>%</t>
        </is>
      </c>
      <c r="D5" s="3" t="inlineStr">
        <is>
          <t>Standard IVA</t>
        </is>
      </c>
    </row>
    <row r="6">
      <c r="A6" s="3" t="inlineStr">
        <is>
          <t>Snow load (Sitges - coastal)</t>
        </is>
      </c>
      <c r="B6" s="6" t="n">
        <v>0.4</v>
      </c>
      <c r="C6" s="5" t="inlineStr">
        <is>
          <t>kN/m2</t>
        </is>
      </c>
      <c r="D6" s="3" t="inlineStr">
        <is>
          <t>Eurocode 1 - low-elevation coastal</t>
        </is>
      </c>
    </row>
    <row r="7">
      <c r="A7" s="3" t="inlineStr">
        <is>
          <t>Standard floor height</t>
        </is>
      </c>
      <c r="B7" s="6" t="n">
        <v>2.8</v>
      </c>
      <c r="C7" s="5" t="inlineStr">
        <is>
          <t>m</t>
        </is>
      </c>
      <c r="D7" s="3" t="inlineStr">
        <is>
          <t>Used to derive wall surface from length</t>
        </is>
      </c>
    </row>
    <row r="8">
      <c r="A8" s="3" t="inlineStr">
        <is>
          <t>External wall thickness (X-lam)</t>
        </is>
      </c>
      <c r="B8" s="6" t="n">
        <v>140</v>
      </c>
      <c r="C8" s="5" t="inlineStr">
        <is>
          <t>mm</t>
        </is>
      </c>
      <c r="D8" s="3" t="inlineStr">
        <is>
          <t>Default panel choice</t>
        </is>
      </c>
    </row>
    <row r="9">
      <c r="A9" s="3" t="inlineStr">
        <is>
          <t>Internal wall thickness (X-lam)</t>
        </is>
      </c>
      <c r="B9" s="6" t="n">
        <v>100</v>
      </c>
      <c r="C9" s="5" t="inlineStr">
        <is>
          <t>mm</t>
        </is>
      </c>
      <c r="D9" s="3" t="inlineStr">
        <is>
          <t>Load-bearing internal walls</t>
        </is>
      </c>
    </row>
    <row r="10">
      <c r="A10" s="3" t="inlineStr">
        <is>
          <t>Wood-fibre insulation - walls</t>
        </is>
      </c>
      <c r="B10" s="6" t="n">
        <v>200</v>
      </c>
      <c r="C10" s="5" t="inlineStr">
        <is>
          <t>mm</t>
        </is>
      </c>
      <c r="D10" s="3" t="inlineStr">
        <is>
          <t>Standard envelope</t>
        </is>
      </c>
    </row>
    <row r="11">
      <c r="A11" s="3" t="inlineStr">
        <is>
          <t>Wood-fibre insulation - roof</t>
        </is>
      </c>
      <c r="B11" s="6" t="n">
        <v>240</v>
      </c>
      <c r="C11" s="5" t="inlineStr">
        <is>
          <t>mm</t>
        </is>
      </c>
      <c r="D11" s="3" t="inlineStr">
        <is>
          <t>Standard roof package</t>
        </is>
      </c>
    </row>
    <row r="12">
      <c r="A12" s="3" t="inlineStr">
        <is>
          <t>Terrace commercial coefficient</t>
        </is>
      </c>
      <c r="B12" s="4" t="n">
        <v>0.3</v>
      </c>
      <c r="C12" s="5" t="inlineStr">
        <is>
          <t>%</t>
        </is>
      </c>
      <c r="D12" s="3" t="inlineStr">
        <is>
          <t>m2 terrace counted at 30% commercial</t>
        </is>
      </c>
    </row>
    <row r="13">
      <c r="A13" s="3" t="inlineStr">
        <is>
          <t>Roof commercial coefficient</t>
        </is>
      </c>
      <c r="B13" s="4" t="n">
        <v>0</v>
      </c>
      <c r="C13" s="5" t="inlineStr">
        <is>
          <t>%</t>
        </is>
      </c>
      <c r="D13" s="3" t="inlineStr">
        <is>
          <t>Roof area not commercial</t>
        </is>
      </c>
    </row>
    <row r="14">
      <c r="A14" s="3" t="inlineStr">
        <is>
          <t>Site duration (assumption)</t>
        </is>
      </c>
      <c r="B14" s="6" t="n">
        <v>3</v>
      </c>
      <c r="C14" s="5" t="inlineStr">
        <is>
          <t>months</t>
        </is>
      </c>
      <c r="D14" s="3" t="inlineStr">
        <is>
          <t>Crane + scaffolding rental basis</t>
        </is>
      </c>
    </row>
    <row r="15"/>
    <row r="16"/>
    <row r="17">
      <c r="A17" s="7" t="inlineStr">
        <is>
          <t>Cells in green are inputs (you can change them); other sheets recompute automatically.</t>
        </is>
      </c>
    </row>
  </sheetData>
  <mergeCells count="2">
    <mergeCell ref="A1:D1"/>
    <mergeCell ref="A17:D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50" customWidth="1" min="7" max="7"/>
  </cols>
  <sheetData>
    <row r="1">
      <c r="A1" s="1" t="inlineStr">
        <is>
          <t>BUILDING SCHEDULE (quantities derived from project geometry)</t>
        </is>
      </c>
    </row>
    <row r="2">
      <c r="A2" s="7" t="inlineStr">
        <is>
          <t>Green cells = inputs to edit  |  Yellow cells = computed</t>
        </is>
      </c>
    </row>
    <row r="3">
      <c r="A3" s="8" t="inlineStr">
        <is>
          <t>A. Per-floor data (input)</t>
        </is>
      </c>
      <c r="B3" s="28" t="n"/>
      <c r="C3" s="28" t="n"/>
      <c r="D3" s="28" t="n"/>
      <c r="E3" s="28" t="n"/>
      <c r="F3" s="28" t="n"/>
      <c r="G3" s="29" t="n"/>
    </row>
    <row r="4">
      <c r="A4" s="2" t="inlineStr">
        <is>
          <t>Floor</t>
        </is>
      </c>
      <c r="B4" s="2" t="inlineStr">
        <is>
          <t>Habitable area m2</t>
        </is>
      </c>
      <c r="C4" s="2" t="inlineStr">
        <is>
          <t>Terrace area m2</t>
        </is>
      </c>
      <c r="D4" s="2" t="inlineStr">
        <is>
          <t>Ext. perimeter (m)</t>
        </is>
      </c>
      <c r="E4" s="2" t="inlineStr">
        <is>
          <t>Int. walls length (m)</t>
        </is>
      </c>
      <c r="F4" s="2" t="inlineStr">
        <is>
          <t>Floor height (m)</t>
        </is>
      </c>
      <c r="G4" s="2" t="inlineStr">
        <is>
          <t>Notes</t>
        </is>
      </c>
    </row>
    <row r="5">
      <c r="A5" s="3" t="inlineStr">
        <is>
          <t>P0 - Ground floor</t>
        </is>
      </c>
      <c r="B5" s="9" t="n">
        <v>115</v>
      </c>
      <c r="C5" s="9" t="n">
        <v>0</v>
      </c>
      <c r="D5" s="9" t="n">
        <v>48</v>
      </c>
      <c r="E5" s="9" t="n">
        <v>32</v>
      </c>
      <c r="F5" s="10">
        <f>Parameters!$B$7</f>
        <v/>
      </c>
      <c r="G5" s="3" t="inlineStr">
        <is>
          <t>Living + kitchen + 1 bedroom</t>
        </is>
      </c>
    </row>
    <row r="6">
      <c r="A6" s="3" t="inlineStr">
        <is>
          <t>P1 - First floor</t>
        </is>
      </c>
      <c r="B6" s="9" t="n">
        <v>110</v>
      </c>
      <c r="C6" s="9" t="n">
        <v>30</v>
      </c>
      <c r="D6" s="9" t="n">
        <v>46</v>
      </c>
      <c r="E6" s="9" t="n">
        <v>30</v>
      </c>
      <c r="F6" s="10">
        <f>Parameters!$B$7</f>
        <v/>
      </c>
      <c r="G6" s="3" t="inlineStr">
        <is>
          <t>3 bedrooms + 2 bathrooms</t>
        </is>
      </c>
    </row>
    <row r="7">
      <c r="A7" s="3" t="inlineStr">
        <is>
          <t>P2 - Attic / technical</t>
        </is>
      </c>
      <c r="B7" s="9" t="n">
        <v>15</v>
      </c>
      <c r="C7" s="9" t="n">
        <v>0</v>
      </c>
      <c r="D7" s="9" t="n">
        <v>12</v>
      </c>
      <c r="E7" s="9" t="n">
        <v>0</v>
      </c>
      <c r="F7" s="11" t="n">
        <v>1.5</v>
      </c>
      <c r="G7" s="3" t="inlineStr">
        <is>
          <t>Low technical floor</t>
        </is>
      </c>
    </row>
    <row r="8">
      <c r="A8" s="12" t="inlineStr">
        <is>
          <t>TOTAL</t>
        </is>
      </c>
      <c r="B8" s="13">
        <f>SUM(B5:B7)</f>
        <v/>
      </c>
      <c r="C8" s="13">
        <f>SUM(C5:C7)</f>
        <v/>
      </c>
      <c r="D8" s="13">
        <f>SUM(D5:D7)</f>
        <v/>
      </c>
      <c r="E8" s="13">
        <f>SUM(E5:E7)</f>
        <v/>
      </c>
      <c r="F8" s="14" t="n"/>
      <c r="G8" s="14" t="n"/>
    </row>
    <row r="9"/>
    <row r="10">
      <c r="A10" s="8" t="inlineStr">
        <is>
          <t>B. Roof data (input)</t>
        </is>
      </c>
      <c r="B10" s="28" t="n"/>
      <c r="C10" s="28" t="n"/>
      <c r="D10" s="28" t="n"/>
      <c r="E10" s="28" t="n"/>
      <c r="F10" s="28" t="n"/>
      <c r="G10" s="29" t="n"/>
    </row>
    <row r="11">
      <c r="A11" s="3" t="inlineStr">
        <is>
          <t>Roof projected area (m2)</t>
        </is>
      </c>
      <c r="B11" s="9" t="n">
        <v>150</v>
      </c>
      <c r="C11" s="14" t="n"/>
      <c r="D11" s="14" t="n"/>
      <c r="E11" s="14" t="n"/>
      <c r="F11" s="14" t="n"/>
      <c r="G11" s="14" t="n"/>
    </row>
    <row r="12">
      <c r="A12" s="3" t="inlineStr">
        <is>
          <t>Gutter + downpipe length (m)</t>
        </is>
      </c>
      <c r="B12" s="9" t="n">
        <v>38</v>
      </c>
      <c r="C12" s="14" t="n"/>
      <c r="D12" s="14" t="n"/>
      <c r="E12" s="14" t="n"/>
      <c r="F12" s="14" t="n"/>
      <c r="G12" s="14" t="n"/>
    </row>
    <row r="13"/>
    <row r="14">
      <c r="A14" s="8" t="inlineStr">
        <is>
          <t>C. Windows and openings (input)</t>
        </is>
      </c>
      <c r="B14" s="28" t="n"/>
      <c r="C14" s="28" t="n"/>
      <c r="D14" s="28" t="n"/>
      <c r="E14" s="28" t="n"/>
      <c r="F14" s="28" t="n"/>
      <c r="G14" s="29" t="n"/>
    </row>
    <row r="15">
      <c r="A15" s="3" t="inlineStr">
        <is>
          <t>Total window area (m2)</t>
        </is>
      </c>
      <c r="B15" s="9" t="n">
        <v>43</v>
      </c>
      <c r="C15" s="14" t="n"/>
      <c r="D15" s="14" t="n"/>
      <c r="E15" s="14" t="n"/>
      <c r="F15" s="14" t="n"/>
      <c r="G15" s="14" t="n"/>
    </row>
    <row r="16">
      <c r="A16" s="3" t="inlineStr">
        <is>
          <t>Number of shutters (units)</t>
        </is>
      </c>
      <c r="B16" s="15" t="n">
        <v>14</v>
      </c>
      <c r="C16" s="14" t="n"/>
      <c r="D16" s="14" t="n"/>
      <c r="E16" s="14" t="n"/>
      <c r="F16" s="14" t="n"/>
      <c r="G16" s="14" t="n"/>
    </row>
    <row r="17">
      <c r="A17" s="3" t="inlineStr">
        <is>
          <t>Entrance doors (units)</t>
        </is>
      </c>
      <c r="B17" s="15" t="n">
        <v>1</v>
      </c>
      <c r="C17" s="14" t="n"/>
      <c r="D17" s="14" t="n"/>
      <c r="E17" s="14" t="n"/>
      <c r="F17" s="14" t="n"/>
      <c r="G17" s="14" t="n"/>
    </row>
    <row r="18"/>
    <row r="19">
      <c r="A19" s="8" t="inlineStr">
        <is>
          <t>D. Derived quantities (auto-computed)</t>
        </is>
      </c>
      <c r="B19" s="28" t="n"/>
      <c r="C19" s="28" t="n"/>
      <c r="D19" s="28" t="n"/>
      <c r="E19" s="28" t="n"/>
      <c r="F19" s="28" t="n"/>
      <c r="G19" s="29" t="n"/>
    </row>
    <row r="20">
      <c r="A20" s="3" t="inlineStr">
        <is>
          <t>External wall surface (m2)</t>
        </is>
      </c>
      <c r="B20" s="13">
        <f>SUMPRODUCT(D5:D7,F5:F7)</f>
        <v/>
      </c>
      <c r="C20" s="14" t="n"/>
      <c r="D20" s="14" t="n"/>
      <c r="E20" s="14" t="n"/>
      <c r="F20" s="14" t="n"/>
      <c r="G20" s="16" t="inlineStr">
        <is>
          <t>SUMPRODUCT(perimeter, height) over all floors</t>
        </is>
      </c>
    </row>
    <row r="21">
      <c r="A21" s="3" t="inlineStr">
        <is>
          <t>Internal wall surface (m2)</t>
        </is>
      </c>
      <c r="B21" s="13">
        <f>SUMPRODUCT(E5:E7,F5:F7)</f>
        <v/>
      </c>
      <c r="C21" s="14" t="n"/>
      <c r="D21" s="14" t="n"/>
      <c r="E21" s="14" t="n"/>
      <c r="F21" s="14" t="n"/>
      <c r="G21" s="16" t="inlineStr">
        <is>
          <t>SUMPRODUCT(int_length, height)</t>
        </is>
      </c>
    </row>
    <row r="22">
      <c r="A22" s="3" t="inlineStr">
        <is>
          <t>Intermediate slab area (m2)</t>
        </is>
      </c>
      <c r="B22" s="13">
        <f>SUM(B6:B7)</f>
        <v/>
      </c>
      <c r="C22" s="14" t="n"/>
      <c r="D22" s="14" t="n"/>
      <c r="E22" s="14" t="n"/>
      <c r="F22" s="14" t="n"/>
      <c r="G22" s="16" t="inlineStr">
        <is>
          <t>habitable area of floors above ground</t>
        </is>
      </c>
    </row>
    <row r="23">
      <c r="A23" s="3" t="inlineStr">
        <is>
          <t>Commercial area (m2)</t>
        </is>
      </c>
      <c r="B23" s="13">
        <f>B8+C8*Parameters!$B$12</f>
        <v/>
      </c>
      <c r="C23" s="14" t="n"/>
      <c r="D23" s="14" t="n"/>
      <c r="E23" s="14" t="n"/>
      <c r="F23" s="14" t="n"/>
      <c r="G23" s="16" t="inlineStr">
        <is>
          <t>habitable + terrace * coeff (from Parameters)</t>
        </is>
      </c>
    </row>
    <row r="24">
      <c r="A24" s="3" t="inlineStr">
        <is>
          <t>Std glulam beams - total length (m)</t>
        </is>
      </c>
      <c r="B24" s="13">
        <f>B22*0.18</f>
        <v/>
      </c>
      <c r="C24" s="14" t="n"/>
      <c r="D24" s="14" t="n"/>
      <c r="E24" s="14" t="n"/>
      <c r="F24" s="14" t="n"/>
      <c r="G24" s="16" t="inlineStr">
        <is>
          <t>rough rule: 0.18 m of beam per m2 of slab</t>
        </is>
      </c>
    </row>
    <row r="25">
      <c r="A25" s="3" t="inlineStr">
        <is>
          <t>Large-span beams - length (m)</t>
        </is>
      </c>
      <c r="B25" s="9" t="n">
        <v>8</v>
      </c>
      <c r="C25" s="14" t="n"/>
      <c r="D25" s="14" t="n"/>
      <c r="E25" s="14" t="n"/>
      <c r="F25" s="14" t="n"/>
      <c r="G25" s="16" t="inlineStr">
        <is>
          <t>manual input - depends on living-room span</t>
        </is>
      </c>
    </row>
  </sheetData>
  <mergeCells count="6">
    <mergeCell ref="A14:G14"/>
    <mergeCell ref="A1:G1"/>
    <mergeCell ref="A3:G3"/>
    <mergeCell ref="A2:G2"/>
    <mergeCell ref="A19:G19"/>
    <mergeCell ref="A10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48" customWidth="1" min="3" max="3"/>
    <col width="8" customWidth="1" min="4" max="4"/>
    <col width="16" customWidth="1" min="5" max="5"/>
  </cols>
  <sheetData>
    <row r="1">
      <c r="A1" s="1" t="inlineStr">
        <is>
          <t>PRICE LIST (cost prices, EUR)</t>
        </is>
      </c>
    </row>
    <row r="2"/>
    <row r="3">
      <c r="A3" s="2" t="inlineStr">
        <is>
          <t>Code</t>
        </is>
      </c>
      <c r="B3" s="2" t="inlineStr">
        <is>
          <t>Category</t>
        </is>
      </c>
      <c r="C3" s="2" t="inlineStr">
        <is>
          <t>Description</t>
        </is>
      </c>
      <c r="D3" s="2" t="inlineStr">
        <is>
          <t>Unit</t>
        </is>
      </c>
      <c r="E3" s="2" t="inlineStr">
        <is>
          <t>Unit Price EUR</t>
        </is>
      </c>
    </row>
    <row r="4">
      <c r="A4" s="5" t="inlineStr">
        <is>
          <t>STR-001</t>
        </is>
      </c>
      <c r="B4" s="5" t="inlineStr">
        <is>
          <t>STR</t>
        </is>
      </c>
      <c r="C4" s="3" t="inlineStr">
        <is>
          <t>X-lam wall panel 140 mm (external load-bearing)</t>
        </is>
      </c>
      <c r="D4" s="5" t="inlineStr">
        <is>
          <t>m2</t>
        </is>
      </c>
      <c r="E4" s="6" t="n">
        <v>285</v>
      </c>
    </row>
    <row r="5">
      <c r="A5" s="5" t="inlineStr">
        <is>
          <t>STR-002</t>
        </is>
      </c>
      <c r="B5" s="5" t="inlineStr">
        <is>
          <t>STR</t>
        </is>
      </c>
      <c r="C5" s="3" t="inlineStr">
        <is>
          <t>X-lam wall panel 100 mm (internal load-bearing)</t>
        </is>
      </c>
      <c r="D5" s="5" t="inlineStr">
        <is>
          <t>m2</t>
        </is>
      </c>
      <c r="E5" s="6" t="n">
        <v>230</v>
      </c>
    </row>
    <row r="6">
      <c r="A6" s="5" t="inlineStr">
        <is>
          <t>STR-010</t>
        </is>
      </c>
      <c r="B6" s="5" t="inlineStr">
        <is>
          <t>STR</t>
        </is>
      </c>
      <c r="C6" s="3" t="inlineStr">
        <is>
          <t>GL24h glulam beam 200x400</t>
        </is>
      </c>
      <c r="D6" s="5" t="inlineStr">
        <is>
          <t>m</t>
        </is>
      </c>
      <c r="E6" s="6" t="n">
        <v>165</v>
      </c>
    </row>
    <row r="7">
      <c r="A7" s="5" t="inlineStr">
        <is>
          <t>STR-011</t>
        </is>
      </c>
      <c r="B7" s="5" t="inlineStr">
        <is>
          <t>STR</t>
        </is>
      </c>
      <c r="C7" s="3" t="inlineStr">
        <is>
          <t>GL24h glulam beam 240x480 (large spans)</t>
        </is>
      </c>
      <c r="D7" s="5" t="inlineStr">
        <is>
          <t>m</t>
        </is>
      </c>
      <c r="E7" s="6" t="n">
        <v>245</v>
      </c>
    </row>
    <row r="8">
      <c r="A8" s="5" t="inlineStr">
        <is>
          <t>STR-020</t>
        </is>
      </c>
      <c r="B8" s="5" t="inlineStr">
        <is>
          <t>STR</t>
        </is>
      </c>
      <c r="C8" s="3" t="inlineStr">
        <is>
          <t>X-lam intermediate slab 200 mm</t>
        </is>
      </c>
      <c r="D8" s="5" t="inlineStr">
        <is>
          <t>m2</t>
        </is>
      </c>
      <c r="E8" s="6" t="n">
        <v>315</v>
      </c>
    </row>
    <row r="9">
      <c r="A9" s="5" t="inlineStr">
        <is>
          <t>STR-021</t>
        </is>
      </c>
      <c r="B9" s="5" t="inlineStr">
        <is>
          <t>STR</t>
        </is>
      </c>
      <c r="C9" s="3" t="inlineStr">
        <is>
          <t>X-lam roof slab 160 mm</t>
        </is>
      </c>
      <c r="D9" s="5" t="inlineStr">
        <is>
          <t>m2</t>
        </is>
      </c>
      <c r="E9" s="6" t="n">
        <v>295</v>
      </c>
    </row>
    <row r="10">
      <c r="A10" s="5" t="inlineStr">
        <is>
          <t>ENV-001</t>
        </is>
      </c>
      <c r="B10" s="5" t="inlineStr">
        <is>
          <t>ENV</t>
        </is>
      </c>
      <c r="C10" s="3" t="inlineStr">
        <is>
          <t>Wood-fibre insulation 200 mm (walls)</t>
        </is>
      </c>
      <c r="D10" s="5" t="inlineStr">
        <is>
          <t>m2</t>
        </is>
      </c>
      <c r="E10" s="6" t="n">
        <v>78</v>
      </c>
    </row>
    <row r="11">
      <c r="A11" s="5" t="inlineStr">
        <is>
          <t>ENV-002</t>
        </is>
      </c>
      <c r="B11" s="5" t="inlineStr">
        <is>
          <t>ENV</t>
        </is>
      </c>
      <c r="C11" s="3" t="inlineStr">
        <is>
          <t>Wood-fibre insulation 240 mm (roof)</t>
        </is>
      </c>
      <c r="D11" s="5" t="inlineStr">
        <is>
          <t>m2</t>
        </is>
      </c>
      <c r="E11" s="6" t="n">
        <v>92</v>
      </c>
    </row>
    <row r="12">
      <c r="A12" s="5" t="inlineStr">
        <is>
          <t>ENV-003</t>
        </is>
      </c>
      <c r="B12" s="5" t="inlineStr">
        <is>
          <t>ENV</t>
        </is>
      </c>
      <c r="C12" s="3" t="inlineStr">
        <is>
          <t>Ventilated facade - larch cladding</t>
        </is>
      </c>
      <c r="D12" s="5" t="inlineStr">
        <is>
          <t>m2</t>
        </is>
      </c>
      <c r="E12" s="6" t="n">
        <v>145</v>
      </c>
    </row>
    <row r="13">
      <c r="A13" s="5" t="inlineStr">
        <is>
          <t>ENV-004</t>
        </is>
      </c>
      <c r="B13" s="5" t="inlineStr">
        <is>
          <t>ENV</t>
        </is>
      </c>
      <c r="C13" s="3" t="inlineStr">
        <is>
          <t>Ceramic tile roof package (membrane + tiles)</t>
        </is>
      </c>
      <c r="D13" s="5" t="inlineStr">
        <is>
          <t>m2</t>
        </is>
      </c>
      <c r="E13" s="6" t="n">
        <v>95</v>
      </c>
    </row>
    <row r="14">
      <c r="A14" s="5" t="inlineStr">
        <is>
          <t>ENV-005</t>
        </is>
      </c>
      <c r="B14" s="5" t="inlineStr">
        <is>
          <t>ENV</t>
        </is>
      </c>
      <c r="C14" s="3" t="inlineStr">
        <is>
          <t>Aluminium flashings and gutter set</t>
        </is>
      </c>
      <c r="D14" s="5" t="inlineStr">
        <is>
          <t>m</t>
        </is>
      </c>
      <c r="E14" s="6" t="n">
        <v>48</v>
      </c>
    </row>
    <row r="15">
      <c r="A15" s="5" t="inlineStr">
        <is>
          <t>WIN-001</t>
        </is>
      </c>
      <c r="B15" s="5" t="inlineStr">
        <is>
          <t>WIN</t>
        </is>
      </c>
      <c r="C15" s="3" t="inlineStr">
        <is>
          <t>Aluminium-clad timber window, triple glazing</t>
        </is>
      </c>
      <c r="D15" s="5" t="inlineStr">
        <is>
          <t>m2</t>
        </is>
      </c>
      <c r="E15" s="6" t="n">
        <v>720</v>
      </c>
    </row>
    <row r="16">
      <c r="A16" s="5" t="inlineStr">
        <is>
          <t>WIN-010</t>
        </is>
      </c>
      <c r="B16" s="5" t="inlineStr">
        <is>
          <t>WIN</t>
        </is>
      </c>
      <c r="C16" s="3" t="inlineStr">
        <is>
          <t>External louvre shutter (manual)</t>
        </is>
      </c>
      <c r="D16" s="5" t="inlineStr">
        <is>
          <t>unit</t>
        </is>
      </c>
      <c r="E16" s="6" t="n">
        <v>380</v>
      </c>
    </row>
    <row r="17">
      <c r="A17" s="5" t="inlineStr">
        <is>
          <t>WIN-020</t>
        </is>
      </c>
      <c r="B17" s="5" t="inlineStr">
        <is>
          <t>WIN</t>
        </is>
      </c>
      <c r="C17" s="3" t="inlineStr">
        <is>
          <t>Glazed aluminium entrance door</t>
        </is>
      </c>
      <c r="D17" s="5" t="inlineStr">
        <is>
          <t>unit</t>
        </is>
      </c>
      <c r="E17" s="6" t="n">
        <v>1850</v>
      </c>
    </row>
    <row r="18">
      <c r="A18" s="5" t="inlineStr">
        <is>
          <t>SITE-01</t>
        </is>
      </c>
      <c r="B18" s="5" t="inlineStr">
        <is>
          <t>SITE</t>
        </is>
      </c>
      <c r="C18" s="3" t="inlineStr">
        <is>
          <t>Site crane rental (incl. operator, per month)</t>
        </is>
      </c>
      <c r="D18" s="5" t="inlineStr">
        <is>
          <t>month</t>
        </is>
      </c>
      <c r="E18" s="6" t="n">
        <v>2200</v>
      </c>
    </row>
    <row r="19">
      <c r="A19" s="5" t="inlineStr">
        <is>
          <t>SITE-02</t>
        </is>
      </c>
      <c r="B19" s="5" t="inlineStr">
        <is>
          <t>SITE</t>
        </is>
      </c>
      <c r="C19" s="3" t="inlineStr">
        <is>
          <t>Facade scaffolding (per month)</t>
        </is>
      </c>
      <c r="D19" s="5" t="inlineStr">
        <is>
          <t>month</t>
        </is>
      </c>
      <c r="E19" s="6" t="n">
        <v>950</v>
      </c>
    </row>
    <row r="20">
      <c r="A20" s="5" t="inlineStr">
        <is>
          <t>SITE-10</t>
        </is>
      </c>
      <c r="B20" s="5" t="inlineStr">
        <is>
          <t>SITE</t>
        </is>
      </c>
      <c r="C20" s="3" t="inlineStr">
        <is>
          <t>Engineering and project management (lump sum)</t>
        </is>
      </c>
      <c r="D20" s="5" t="inlineStr">
        <is>
          <t>ls</t>
        </is>
      </c>
      <c r="E20" s="6" t="n">
        <v>18000</v>
      </c>
    </row>
    <row r="21">
      <c r="A21" s="5" t="inlineStr">
        <is>
          <t>SITE-20</t>
        </is>
      </c>
      <c r="B21" s="5" t="inlineStr">
        <is>
          <t>SITE</t>
        </is>
      </c>
      <c r="C21" s="3" t="inlineStr">
        <is>
          <t>On-site assembly labour</t>
        </is>
      </c>
      <c r="D21" s="5" t="inlineStr">
        <is>
          <t>day</t>
        </is>
      </c>
      <c r="E21" s="6" t="n">
        <v>780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1" customWidth="1" min="1" max="1"/>
    <col width="46" customWidth="1" min="2" max="2"/>
    <col width="7" customWidth="1" min="3" max="3"/>
    <col width="11" customWidth="1" min="4" max="4"/>
    <col width="8" customWidth="1" min="5" max="5"/>
    <col width="14" customWidth="1" min="6" max="6"/>
    <col width="18" customWidth="1" min="7" max="7"/>
  </cols>
  <sheetData>
    <row r="1">
      <c r="A1" s="1" t="inlineStr">
        <is>
          <t>QUOTE COMPUTATION (cascading from Schedule + PriceList + Parameters)</t>
        </is>
      </c>
    </row>
    <row r="2">
      <c r="A2" s="7" t="inlineStr">
        <is>
          <t>Code is the only manual lookup. Description, Category, Unit Price are pulled by VLOOKUP. Quantities reference the Schedule sheet.</t>
        </is>
      </c>
    </row>
    <row r="3"/>
    <row r="4">
      <c r="A4" s="2" t="inlineStr">
        <is>
          <t>Code</t>
        </is>
      </c>
      <c r="B4" s="2" t="inlineStr">
        <is>
          <t>Description (auto)</t>
        </is>
      </c>
      <c r="C4" s="2" t="inlineStr">
        <is>
          <t>Cat (auto)</t>
        </is>
      </c>
      <c r="D4" s="2" t="inlineStr">
        <is>
          <t>Qty</t>
        </is>
      </c>
      <c r="E4" s="2" t="inlineStr">
        <is>
          <t>Unit</t>
        </is>
      </c>
      <c r="F4" s="2" t="inlineStr">
        <is>
          <t>Unit Price (auto)</t>
        </is>
      </c>
      <c r="G4" s="2" t="inlineStr">
        <is>
          <t>Total</t>
        </is>
      </c>
    </row>
    <row r="5">
      <c r="A5" s="5" t="inlineStr">
        <is>
          <t>STR-001</t>
        </is>
      </c>
      <c r="B5" s="3">
        <f>VLOOKUP(A5,PriceList!$A$4:$E$21,3,FALSE)</f>
        <v/>
      </c>
      <c r="C5" s="5">
        <f>VLOOKUP(A5,PriceList!$A$4:$E$21,2,FALSE)</f>
        <v/>
      </c>
      <c r="D5" s="17">
        <f>Schedule!$B$20</f>
        <v/>
      </c>
      <c r="E5" s="5">
        <f>VLOOKUP(A5,PriceList!$A$4:$E$21,4,FALSE)</f>
        <v/>
      </c>
      <c r="F5" s="18">
        <f>VLOOKUP(A5,PriceList!$A$4:$E$21,5,FALSE)</f>
        <v/>
      </c>
      <c r="G5" s="19">
        <f>D5*F5</f>
        <v/>
      </c>
    </row>
    <row r="6">
      <c r="A6" s="5" t="inlineStr">
        <is>
          <t>STR-002</t>
        </is>
      </c>
      <c r="B6" s="3">
        <f>VLOOKUP(A6,PriceList!$A$4:$E$21,3,FALSE)</f>
        <v/>
      </c>
      <c r="C6" s="5">
        <f>VLOOKUP(A6,PriceList!$A$4:$E$21,2,FALSE)</f>
        <v/>
      </c>
      <c r="D6" s="17">
        <f>Schedule!$B$21</f>
        <v/>
      </c>
      <c r="E6" s="5">
        <f>VLOOKUP(A6,PriceList!$A$4:$E$21,4,FALSE)</f>
        <v/>
      </c>
      <c r="F6" s="18">
        <f>VLOOKUP(A6,PriceList!$A$4:$E$21,5,FALSE)</f>
        <v/>
      </c>
      <c r="G6" s="19">
        <f>D6*F6</f>
        <v/>
      </c>
    </row>
    <row r="7">
      <c r="A7" s="5" t="inlineStr">
        <is>
          <t>STR-010</t>
        </is>
      </c>
      <c r="B7" s="3">
        <f>VLOOKUP(A7,PriceList!$A$4:$E$21,3,FALSE)</f>
        <v/>
      </c>
      <c r="C7" s="5">
        <f>VLOOKUP(A7,PriceList!$A$4:$E$21,2,FALSE)</f>
        <v/>
      </c>
      <c r="D7" s="17">
        <f>Schedule!$B$24</f>
        <v/>
      </c>
      <c r="E7" s="5">
        <f>VLOOKUP(A7,PriceList!$A$4:$E$21,4,FALSE)</f>
        <v/>
      </c>
      <c r="F7" s="18">
        <f>VLOOKUP(A7,PriceList!$A$4:$E$21,5,FALSE)</f>
        <v/>
      </c>
      <c r="G7" s="19">
        <f>D7*F7</f>
        <v/>
      </c>
    </row>
    <row r="8">
      <c r="A8" s="5" t="inlineStr">
        <is>
          <t>STR-011</t>
        </is>
      </c>
      <c r="B8" s="3">
        <f>VLOOKUP(A8,PriceList!$A$4:$E$21,3,FALSE)</f>
        <v/>
      </c>
      <c r="C8" s="5">
        <f>VLOOKUP(A8,PriceList!$A$4:$E$21,2,FALSE)</f>
        <v/>
      </c>
      <c r="D8" s="17">
        <f>Schedule!$B$25</f>
        <v/>
      </c>
      <c r="E8" s="5">
        <f>VLOOKUP(A8,PriceList!$A$4:$E$21,4,FALSE)</f>
        <v/>
      </c>
      <c r="F8" s="18">
        <f>VLOOKUP(A8,PriceList!$A$4:$E$21,5,FALSE)</f>
        <v/>
      </c>
      <c r="G8" s="19">
        <f>D8*F8</f>
        <v/>
      </c>
    </row>
    <row r="9">
      <c r="A9" s="5" t="inlineStr">
        <is>
          <t>STR-020</t>
        </is>
      </c>
      <c r="B9" s="3">
        <f>VLOOKUP(A9,PriceList!$A$4:$E$21,3,FALSE)</f>
        <v/>
      </c>
      <c r="C9" s="5">
        <f>VLOOKUP(A9,PriceList!$A$4:$E$21,2,FALSE)</f>
        <v/>
      </c>
      <c r="D9" s="17">
        <f>Schedule!$B$22</f>
        <v/>
      </c>
      <c r="E9" s="5">
        <f>VLOOKUP(A9,PriceList!$A$4:$E$21,4,FALSE)</f>
        <v/>
      </c>
      <c r="F9" s="18">
        <f>VLOOKUP(A9,PriceList!$A$4:$E$21,5,FALSE)</f>
        <v/>
      </c>
      <c r="G9" s="19">
        <f>D9*F9</f>
        <v/>
      </c>
    </row>
    <row r="10">
      <c r="A10" s="5" t="inlineStr">
        <is>
          <t>STR-021</t>
        </is>
      </c>
      <c r="B10" s="3">
        <f>VLOOKUP(A10,PriceList!$A$4:$E$21,3,FALSE)</f>
        <v/>
      </c>
      <c r="C10" s="5">
        <f>VLOOKUP(A10,PriceList!$A$4:$E$21,2,FALSE)</f>
        <v/>
      </c>
      <c r="D10" s="17">
        <f>Schedule!$B$11</f>
        <v/>
      </c>
      <c r="E10" s="5">
        <f>VLOOKUP(A10,PriceList!$A$4:$E$21,4,FALSE)</f>
        <v/>
      </c>
      <c r="F10" s="18">
        <f>VLOOKUP(A10,PriceList!$A$4:$E$21,5,FALSE)</f>
        <v/>
      </c>
      <c r="G10" s="19">
        <f>D10*F10</f>
        <v/>
      </c>
    </row>
    <row r="11">
      <c r="A11" s="5" t="inlineStr">
        <is>
          <t>ENV-001</t>
        </is>
      </c>
      <c r="B11" s="3">
        <f>VLOOKUP(A11,PriceList!$A$4:$E$21,3,FALSE)</f>
        <v/>
      </c>
      <c r="C11" s="5">
        <f>VLOOKUP(A11,PriceList!$A$4:$E$21,2,FALSE)</f>
        <v/>
      </c>
      <c r="D11" s="17">
        <f>Schedule!$B$20</f>
        <v/>
      </c>
      <c r="E11" s="5">
        <f>VLOOKUP(A11,PriceList!$A$4:$E$21,4,FALSE)</f>
        <v/>
      </c>
      <c r="F11" s="18">
        <f>VLOOKUP(A11,PriceList!$A$4:$E$21,5,FALSE)</f>
        <v/>
      </c>
      <c r="G11" s="19">
        <f>D11*F11</f>
        <v/>
      </c>
    </row>
    <row r="12">
      <c r="A12" s="5" t="inlineStr">
        <is>
          <t>ENV-002</t>
        </is>
      </c>
      <c r="B12" s="3">
        <f>VLOOKUP(A12,PriceList!$A$4:$E$21,3,FALSE)</f>
        <v/>
      </c>
      <c r="C12" s="5">
        <f>VLOOKUP(A12,PriceList!$A$4:$E$21,2,FALSE)</f>
        <v/>
      </c>
      <c r="D12" s="17">
        <f>Schedule!$B$11</f>
        <v/>
      </c>
      <c r="E12" s="5">
        <f>VLOOKUP(A12,PriceList!$A$4:$E$21,4,FALSE)</f>
        <v/>
      </c>
      <c r="F12" s="18">
        <f>VLOOKUP(A12,PriceList!$A$4:$E$21,5,FALSE)</f>
        <v/>
      </c>
      <c r="G12" s="19">
        <f>D12*F12</f>
        <v/>
      </c>
    </row>
    <row r="13">
      <c r="A13" s="5" t="inlineStr">
        <is>
          <t>ENV-003</t>
        </is>
      </c>
      <c r="B13" s="3">
        <f>VLOOKUP(A13,PriceList!$A$4:$E$21,3,FALSE)</f>
        <v/>
      </c>
      <c r="C13" s="5">
        <f>VLOOKUP(A13,PriceList!$A$4:$E$21,2,FALSE)</f>
        <v/>
      </c>
      <c r="D13" s="17">
        <f>Schedule!$B$20</f>
        <v/>
      </c>
      <c r="E13" s="5">
        <f>VLOOKUP(A13,PriceList!$A$4:$E$21,4,FALSE)</f>
        <v/>
      </c>
      <c r="F13" s="18">
        <f>VLOOKUP(A13,PriceList!$A$4:$E$21,5,FALSE)</f>
        <v/>
      </c>
      <c r="G13" s="19">
        <f>D13*F13</f>
        <v/>
      </c>
    </row>
    <row r="14">
      <c r="A14" s="5" t="inlineStr">
        <is>
          <t>ENV-004</t>
        </is>
      </c>
      <c r="B14" s="3">
        <f>VLOOKUP(A14,PriceList!$A$4:$E$21,3,FALSE)</f>
        <v/>
      </c>
      <c r="C14" s="5">
        <f>VLOOKUP(A14,PriceList!$A$4:$E$21,2,FALSE)</f>
        <v/>
      </c>
      <c r="D14" s="17">
        <f>Schedule!$B$11</f>
        <v/>
      </c>
      <c r="E14" s="5">
        <f>VLOOKUP(A14,PriceList!$A$4:$E$21,4,FALSE)</f>
        <v/>
      </c>
      <c r="F14" s="18">
        <f>VLOOKUP(A14,PriceList!$A$4:$E$21,5,FALSE)</f>
        <v/>
      </c>
      <c r="G14" s="19">
        <f>D14*F14</f>
        <v/>
      </c>
    </row>
    <row r="15">
      <c r="A15" s="5" t="inlineStr">
        <is>
          <t>ENV-005</t>
        </is>
      </c>
      <c r="B15" s="3">
        <f>VLOOKUP(A15,PriceList!$A$4:$E$21,3,FALSE)</f>
        <v/>
      </c>
      <c r="C15" s="5">
        <f>VLOOKUP(A15,PriceList!$A$4:$E$21,2,FALSE)</f>
        <v/>
      </c>
      <c r="D15" s="17">
        <f>Schedule!$B$12</f>
        <v/>
      </c>
      <c r="E15" s="5">
        <f>VLOOKUP(A15,PriceList!$A$4:$E$21,4,FALSE)</f>
        <v/>
      </c>
      <c r="F15" s="18">
        <f>VLOOKUP(A15,PriceList!$A$4:$E$21,5,FALSE)</f>
        <v/>
      </c>
      <c r="G15" s="19">
        <f>D15*F15</f>
        <v/>
      </c>
    </row>
    <row r="16">
      <c r="A16" s="5" t="inlineStr">
        <is>
          <t>WIN-001</t>
        </is>
      </c>
      <c r="B16" s="3">
        <f>VLOOKUP(A16,PriceList!$A$4:$E$21,3,FALSE)</f>
        <v/>
      </c>
      <c r="C16" s="5">
        <f>VLOOKUP(A16,PriceList!$A$4:$E$21,2,FALSE)</f>
        <v/>
      </c>
      <c r="D16" s="17">
        <f>Schedule!$B$15</f>
        <v/>
      </c>
      <c r="E16" s="5">
        <f>VLOOKUP(A16,PriceList!$A$4:$E$21,4,FALSE)</f>
        <v/>
      </c>
      <c r="F16" s="18">
        <f>VLOOKUP(A16,PriceList!$A$4:$E$21,5,FALSE)</f>
        <v/>
      </c>
      <c r="G16" s="19">
        <f>D16*F16</f>
        <v/>
      </c>
    </row>
    <row r="17">
      <c r="A17" s="5" t="inlineStr">
        <is>
          <t>WIN-010</t>
        </is>
      </c>
      <c r="B17" s="3">
        <f>VLOOKUP(A17,PriceList!$A$4:$E$21,3,FALSE)</f>
        <v/>
      </c>
      <c r="C17" s="5">
        <f>VLOOKUP(A17,PriceList!$A$4:$E$21,2,FALSE)</f>
        <v/>
      </c>
      <c r="D17" s="17">
        <f>Schedule!$B$16</f>
        <v/>
      </c>
      <c r="E17" s="5">
        <f>VLOOKUP(A17,PriceList!$A$4:$E$21,4,FALSE)</f>
        <v/>
      </c>
      <c r="F17" s="18">
        <f>VLOOKUP(A17,PriceList!$A$4:$E$21,5,FALSE)</f>
        <v/>
      </c>
      <c r="G17" s="19">
        <f>D17*F17</f>
        <v/>
      </c>
    </row>
    <row r="18">
      <c r="A18" s="5" t="inlineStr">
        <is>
          <t>WIN-020</t>
        </is>
      </c>
      <c r="B18" s="3">
        <f>VLOOKUP(A18,PriceList!$A$4:$E$21,3,FALSE)</f>
        <v/>
      </c>
      <c r="C18" s="5">
        <f>VLOOKUP(A18,PriceList!$A$4:$E$21,2,FALSE)</f>
        <v/>
      </c>
      <c r="D18" s="17">
        <f>Schedule!$B$17</f>
        <v/>
      </c>
      <c r="E18" s="5">
        <f>VLOOKUP(A18,PriceList!$A$4:$E$21,4,FALSE)</f>
        <v/>
      </c>
      <c r="F18" s="18">
        <f>VLOOKUP(A18,PriceList!$A$4:$E$21,5,FALSE)</f>
        <v/>
      </c>
      <c r="G18" s="19">
        <f>D18*F18</f>
        <v/>
      </c>
    </row>
    <row r="19">
      <c r="A19" s="5" t="inlineStr">
        <is>
          <t>SITE-01</t>
        </is>
      </c>
      <c r="B19" s="3">
        <f>VLOOKUP(A19,PriceList!$A$4:$E$21,3,FALSE)</f>
        <v/>
      </c>
      <c r="C19" s="5">
        <f>VLOOKUP(A19,PriceList!$A$4:$E$21,2,FALSE)</f>
        <v/>
      </c>
      <c r="D19" s="17">
        <f>Parameters!$B$14</f>
        <v/>
      </c>
      <c r="E19" s="5">
        <f>VLOOKUP(A19,PriceList!$A$4:$E$21,4,FALSE)</f>
        <v/>
      </c>
      <c r="F19" s="18">
        <f>VLOOKUP(A19,PriceList!$A$4:$E$21,5,FALSE)</f>
        <v/>
      </c>
      <c r="G19" s="19">
        <f>D19*F19</f>
        <v/>
      </c>
    </row>
    <row r="20">
      <c r="A20" s="5" t="inlineStr">
        <is>
          <t>SITE-02</t>
        </is>
      </c>
      <c r="B20" s="3">
        <f>VLOOKUP(A20,PriceList!$A$4:$E$21,3,FALSE)</f>
        <v/>
      </c>
      <c r="C20" s="5">
        <f>VLOOKUP(A20,PriceList!$A$4:$E$21,2,FALSE)</f>
        <v/>
      </c>
      <c r="D20" s="17">
        <f>Parameters!$B$14</f>
        <v/>
      </c>
      <c r="E20" s="5">
        <f>VLOOKUP(A20,PriceList!$A$4:$E$21,4,FALSE)</f>
        <v/>
      </c>
      <c r="F20" s="18">
        <f>VLOOKUP(A20,PriceList!$A$4:$E$21,5,FALSE)</f>
        <v/>
      </c>
      <c r="G20" s="19">
        <f>D20*F20</f>
        <v/>
      </c>
    </row>
    <row r="21">
      <c r="A21" s="5" t="inlineStr">
        <is>
          <t>SITE-10</t>
        </is>
      </c>
      <c r="B21" s="3">
        <f>VLOOKUP(A21,PriceList!$A$4:$E$21,3,FALSE)</f>
        <v/>
      </c>
      <c r="C21" s="5">
        <f>VLOOKUP(A21,PriceList!$A$4:$E$21,2,FALSE)</f>
        <v/>
      </c>
      <c r="D21" s="17">
        <f>1</f>
        <v/>
      </c>
      <c r="E21" s="5">
        <f>VLOOKUP(A21,PriceList!$A$4:$E$21,4,FALSE)</f>
        <v/>
      </c>
      <c r="F21" s="18">
        <f>VLOOKUP(A21,PriceList!$A$4:$E$21,5,FALSE)</f>
        <v/>
      </c>
      <c r="G21" s="19">
        <f>D21*F21</f>
        <v/>
      </c>
    </row>
    <row r="22">
      <c r="A22" s="5" t="inlineStr">
        <is>
          <t>SITE-20</t>
        </is>
      </c>
      <c r="B22" s="3">
        <f>VLOOKUP(A22,PriceList!$A$4:$E$21,3,FALSE)</f>
        <v/>
      </c>
      <c r="C22" s="5">
        <f>VLOOKUP(A22,PriceList!$A$4:$E$21,2,FALSE)</f>
        <v/>
      </c>
      <c r="D22" s="6" t="n">
        <v>35</v>
      </c>
      <c r="E22" s="5">
        <f>VLOOKUP(A22,PriceList!$A$4:$E$21,4,FALSE)</f>
        <v/>
      </c>
      <c r="F22" s="18">
        <f>VLOOKUP(A22,PriceList!$A$4:$E$21,5,FALSE)</f>
        <v/>
      </c>
      <c r="G22" s="19">
        <f>D22*F22</f>
        <v/>
      </c>
    </row>
    <row r="23"/>
    <row r="24"/>
    <row r="25">
      <c r="A25" s="8" t="inlineStr">
        <is>
          <t>AGGREGATION BY CATEGORY</t>
        </is>
      </c>
      <c r="B25" s="28" t="n"/>
      <c r="C25" s="28" t="n"/>
      <c r="D25" s="28" t="n"/>
      <c r="E25" s="28" t="n"/>
      <c r="F25" s="28" t="n"/>
      <c r="G25" s="29" t="n"/>
    </row>
    <row r="26">
      <c r="A26" s="2" t="inlineStr">
        <is>
          <t>Category</t>
        </is>
      </c>
      <c r="B26" s="2" t="inlineStr">
        <is>
          <t>Description</t>
        </is>
      </c>
      <c r="C26" s="2" t="n"/>
      <c r="D26" s="2" t="n"/>
      <c r="E26" s="2" t="n"/>
      <c r="F26" s="2" t="n"/>
      <c r="G26" s="2" t="inlineStr">
        <is>
          <t>Cost subtotal EUR</t>
        </is>
      </c>
    </row>
    <row r="27">
      <c r="A27" s="5" t="inlineStr">
        <is>
          <t>STR</t>
        </is>
      </c>
      <c r="B27" s="3" t="inlineStr">
        <is>
          <t>Structure (load-bearing timber, beams, slabs)</t>
        </is>
      </c>
      <c r="C27" s="14" t="n"/>
      <c r="D27" s="14" t="n"/>
      <c r="E27" s="14" t="n"/>
      <c r="F27" s="14" t="n"/>
      <c r="G27" s="20">
        <f>SUMIF(C5:C22,"STR",G5:G22)</f>
        <v/>
      </c>
    </row>
    <row r="28">
      <c r="A28" s="5" t="inlineStr">
        <is>
          <t>ENV</t>
        </is>
      </c>
      <c r="B28" s="3" t="inlineStr">
        <is>
          <t>Envelope (insulation, facade, roof package, flashings)</t>
        </is>
      </c>
      <c r="C28" s="14" t="n"/>
      <c r="D28" s="14" t="n"/>
      <c r="E28" s="14" t="n"/>
      <c r="F28" s="14" t="n"/>
      <c r="G28" s="20">
        <f>SUMIF(C5:C22,"ENV",G5:G22)</f>
        <v/>
      </c>
    </row>
    <row r="29">
      <c r="A29" s="5" t="inlineStr">
        <is>
          <t>WIN</t>
        </is>
      </c>
      <c r="B29" s="3" t="inlineStr">
        <is>
          <t>Windows, shutters, doors</t>
        </is>
      </c>
      <c r="C29" s="14" t="n"/>
      <c r="D29" s="14" t="n"/>
      <c r="E29" s="14" t="n"/>
      <c r="F29" s="14" t="n"/>
      <c r="G29" s="20">
        <f>SUMIF(C5:C22,"WIN",G5:G22)</f>
        <v/>
      </c>
    </row>
    <row r="30">
      <c r="A30" s="5" t="inlineStr">
        <is>
          <t>SITE</t>
        </is>
      </c>
      <c r="B30" s="3" t="inlineStr">
        <is>
          <t>Site management (crane, scaffolding, engineering, labour)</t>
        </is>
      </c>
      <c r="C30" s="14" t="n"/>
      <c r="D30" s="14" t="n"/>
      <c r="E30" s="14" t="n"/>
      <c r="F30" s="14" t="n"/>
      <c r="G30" s="20">
        <f>SUMIF(C5:C22,"SITE",G5:G22)</f>
        <v/>
      </c>
    </row>
    <row r="31">
      <c r="A31" s="14" t="n"/>
      <c r="B31" s="21" t="inlineStr">
        <is>
          <t>TOTAL COST</t>
        </is>
      </c>
      <c r="C31" s="14" t="n"/>
      <c r="D31" s="14" t="n"/>
      <c r="E31" s="14" t="n"/>
      <c r="F31" s="14" t="n"/>
      <c r="G31" s="22">
        <f>SUM(G27:G30)</f>
        <v/>
      </c>
    </row>
    <row r="32">
      <c r="A32" s="14" t="n"/>
      <c r="B32" s="23" t="inlineStr">
        <is>
          <t>Margin %</t>
        </is>
      </c>
      <c r="C32" s="14" t="n"/>
      <c r="D32" s="14" t="n"/>
      <c r="E32" s="14" t="n"/>
      <c r="F32" s="14" t="n"/>
      <c r="G32" s="24">
        <f>Parameters!$B$4</f>
        <v/>
      </c>
    </row>
    <row r="33">
      <c r="A33" s="14" t="n"/>
      <c r="B33" s="25" t="inlineStr">
        <is>
          <t>SELLING PRICE (excl. VAT)</t>
        </is>
      </c>
      <c r="C33" s="14" t="n"/>
      <c r="D33" s="14" t="n"/>
      <c r="E33" s="14" t="n"/>
      <c r="F33" s="14" t="n"/>
      <c r="G33" s="26">
        <f>G31/(1-G32)</f>
        <v/>
      </c>
    </row>
    <row r="34">
      <c r="A34" s="14" t="n"/>
      <c r="B34" s="23" t="inlineStr">
        <is>
          <t>VAT (21%)</t>
        </is>
      </c>
      <c r="C34" s="14" t="n"/>
      <c r="D34" s="14" t="n"/>
      <c r="E34" s="14" t="n"/>
      <c r="F34" s="14" t="n"/>
      <c r="G34" s="27">
        <f>G33*Parameters!$B$5</f>
        <v/>
      </c>
    </row>
    <row r="35">
      <c r="A35" s="14" t="n"/>
      <c r="B35" s="25" t="inlineStr">
        <is>
          <t>TOTAL incl. VAT</t>
        </is>
      </c>
      <c r="C35" s="14" t="n"/>
      <c r="D35" s="14" t="n"/>
      <c r="E35" s="14" t="n"/>
      <c r="F35" s="14" t="n"/>
      <c r="G35" s="26">
        <f>G33+G34</f>
        <v/>
      </c>
    </row>
  </sheetData>
  <mergeCells count="3">
    <mergeCell ref="A2:G2"/>
    <mergeCell ref="A1:G1"/>
    <mergeCell ref="A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2026-05-27T20:41:32Z</dcterms:created>
  <dcterms:modified xmlns:dcterms="http://purl.org/dc/terms/" xmlns:xsi="http://www.w3.org/2001/XMLSchema-instance" xsi:type="dcterms:W3CDTF">2026-05-27T20:49:13Z</dcterms:modified>
</cp:coreProperties>
</file>